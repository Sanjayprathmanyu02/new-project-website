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nja\Downloads\SIH_REPORT\"/>
    </mc:Choice>
  </mc:AlternateContent>
  <xr:revisionPtr revIDLastSave="0" documentId="13_ncr:1_{D034FD31-599F-4B27-9B7C-F25654A25475}" xr6:coauthVersionLast="47" xr6:coauthVersionMax="47" xr10:uidLastSave="{00000000-0000-0000-0000-000000000000}"/>
  <bookViews>
    <workbookView xWindow="-98" yWindow="-98" windowWidth="21795" windowHeight="12975" tabRatio="500" activeTab="3" xr2:uid="{00000000-000D-0000-FFFF-FFFF00000000}"/>
  </bookViews>
  <sheets>
    <sheet name="Read Me" sheetId="1" r:id="rId1"/>
    <sheet name="Inputs" sheetId="2" r:id="rId2"/>
    <sheet name="Calculations" sheetId="3" r:id="rId3"/>
    <sheet name="Results Summary"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2" i="3" l="1"/>
  <c r="B15" i="4" s="1"/>
  <c r="B10" i="3"/>
  <c r="C10" i="3" s="1"/>
  <c r="B9" i="3"/>
  <c r="C9" i="3" s="1"/>
  <c r="C8" i="3"/>
  <c r="H8" i="3" s="1"/>
  <c r="B8" i="3"/>
  <c r="B7" i="3"/>
  <c r="C7" i="3" s="1"/>
  <c r="B6" i="3"/>
  <c r="C6" i="3" s="1"/>
  <c r="B5" i="3"/>
  <c r="C5" i="3" s="1"/>
  <c r="B4" i="3"/>
  <c r="C4" i="3" s="1"/>
  <c r="B3" i="3"/>
  <c r="C3" i="3" s="1"/>
  <c r="B2" i="3"/>
  <c r="C2" i="3" s="1"/>
  <c r="D3" i="3" l="1"/>
  <c r="D7" i="3"/>
  <c r="D10" i="3"/>
  <c r="H2" i="3"/>
  <c r="D8" i="3"/>
  <c r="D6" i="3"/>
  <c r="D2" i="3"/>
  <c r="D5" i="3"/>
  <c r="D4" i="3"/>
  <c r="C12" i="3"/>
  <c r="D9" i="3"/>
  <c r="E9" i="3" s="1"/>
  <c r="H4" i="3"/>
  <c r="E4" i="3"/>
  <c r="H6" i="3"/>
  <c r="E6" i="3"/>
  <c r="H7" i="3"/>
  <c r="E7" i="3"/>
  <c r="H5" i="3"/>
  <c r="E5" i="3"/>
  <c r="H9" i="3"/>
  <c r="H3" i="3"/>
  <c r="E3" i="3"/>
  <c r="E10" i="3"/>
  <c r="H10" i="3"/>
  <c r="E8" i="3"/>
  <c r="B12" i="4"/>
  <c r="C23" i="4" s="1"/>
  <c r="G9" i="3" l="1"/>
  <c r="F9" i="3"/>
  <c r="H12" i="3"/>
  <c r="G5" i="3"/>
  <c r="F5" i="3"/>
  <c r="G7" i="3"/>
  <c r="F7" i="3"/>
  <c r="G6" i="3"/>
  <c r="F6" i="3"/>
  <c r="G4" i="3"/>
  <c r="F4" i="3"/>
  <c r="B7" i="4"/>
  <c r="B23" i="4" s="1"/>
  <c r="B5" i="4"/>
  <c r="D12" i="3"/>
  <c r="E2" i="3"/>
  <c r="G8" i="3"/>
  <c r="F8" i="3"/>
  <c r="F10" i="3"/>
  <c r="G10" i="3"/>
  <c r="G3" i="3"/>
  <c r="F3" i="3"/>
  <c r="G2" i="3" l="1"/>
  <c r="G12" i="3" s="1"/>
  <c r="F2" i="3"/>
  <c r="F12" i="3" s="1"/>
  <c r="B6" i="4"/>
  <c r="B22" i="4" s="1"/>
  <c r="B4" i="4"/>
  <c r="B8" i="4"/>
  <c r="B14" i="4" l="1"/>
  <c r="B11" i="4"/>
  <c r="C22" i="4" s="1"/>
</calcChain>
</file>

<file path=xl/sharedStrings.xml><?xml version="1.0" encoding="utf-8"?>
<sst xmlns="http://schemas.openxmlformats.org/spreadsheetml/2006/main" count="109" uniqueCount="91">
  <si>
    <t>AGRISPIKE — WATER &amp; YIELD IMPACT ESTIMATOR</t>
  </si>
  <si>
    <t>Smart India Hackathon 2026  |  Problem Statement ID: SIH26210  |  Team: SenseiSquad</t>
  </si>
  <si>
    <t>PURPOSE</t>
  </si>
  <si>
    <t>This workbook estimates the water saved and yield improvement expected from AgriSpike's zone-based precision irrigation, compared against conventional uniform-field irrigation. It gives every claimed percentage a traceable, re-runnable calculation, rather than an unsupported number, so that reviewers can see exactly how each figure was produced and change the inputs themselves.</t>
  </si>
  <si>
    <t>METHODOLOGY (simplified, adapted from established agronomic references)</t>
  </si>
  <si>
    <t>1. Crop water requirement is estimated using the FAO Penman-Monteith crop-coefficient approach (FAO Irrigation &amp; Drainage Paper 56): seasonal ETc = Kc x ET0 x season length, net of effective rainfall.</t>
  </si>
  <si>
    <t>2. Each of the 9 AgriSpike zones has its own measured soil-moisture reading (as a % of field capacity), representing real zone-to-zone variability that a uniform irrigation approach cannot see.</t>
  </si>
  <si>
    <t>3. UNIFORM scenario: conventional practice applies one flat depth of water to the whole field. Because farmers cannot see zone variability without sensors, they conventionally apply more than the field's true average need as a safety margin (the 'over-irrigation safety factor' input below) to avoid visibly damaging the driest-looking areas. This still leaves the zones that need more than that flat depth under-watered (yield loss via the FAO-33 yield-response-factor method), while zones needing less are over-watered (wasted water).</t>
  </si>
  <si>
    <t>4. PRECISION scenario (AgriSpike): each zone receives exactly the depth its own sensor reading indicates it needs — no zone is over- or under-watered.</t>
  </si>
  <si>
    <t>5. Yield impact uses the FAO Irrigation &amp; Drainage Paper 33 (Doorenbos &amp; Kassam) yield-response-factor (Ky) method: relative yield loss = Ky x (remaining water deficit / total available water).</t>
  </si>
  <si>
    <t>HOW TO USE THIS WORKBOOK</t>
  </si>
  <si>
    <t>Go to the 'Inputs' tab. Every YELLOW cell is meant to be edited — replace the example values with your actual crop, climate, and real sensor-zone readings. Every other sheet recalculates automatically. Do not edit cells outside the yellow cells; they contain the formulas that make this defensible.</t>
  </si>
  <si>
    <t>IMPORTANT — HOW TO PRESENT THIS IN YOUR REPORT</t>
  </si>
  <si>
    <t>State plainly that these are projected, model-based estimates using a recognized agronomic methodology (FAO-56 / FAO-33), not yet field-validated with a full growing season of real yield data. This is the honest, defensible framing — reviewers respect 'projected, pending field validation' far more than an unsupported absolute claim.</t>
  </si>
  <si>
    <t>REFERENCES</t>
  </si>
  <si>
    <t>Allen, R.G., Pereira, L.S., Raes, D., Smith, M. (1998). Crop Evapotranspiration - Guidelines for Computing Crop Water Requirements. FAO Irrigation and Drainage Paper No. 56.</t>
  </si>
  <si>
    <t>Doorenbos, J., Kassam, A.H. (1979). Yield Response to Water. FAO Irrigation and Drainage Paper No. 33.</t>
  </si>
  <si>
    <t>Also consistent with the precision-irrigation literature already cited in your SIH presentation (Soussi et al. 2024; Khoa et al. 2019; Sensors 23(5) 2725; Sensors 21(21) 7041).</t>
  </si>
  <si>
    <t>INPUTS — edit only the YELLOW cells</t>
  </si>
  <si>
    <t>CROP &amp; SEASON ASSUMPTIONS</t>
  </si>
  <si>
    <t>Crop name</t>
  </si>
  <si>
    <t>Tomato</t>
  </si>
  <si>
    <t>Example — replace with your target crop</t>
  </si>
  <si>
    <t>Reference ET0 (mm/day, seasonal average)</t>
  </si>
  <si>
    <t>From local climate data / weather station / CROPWAT climate database</t>
  </si>
  <si>
    <t>Crop coefficient Kc (season average)</t>
  </si>
  <si>
    <t>FAO-56 crop coefficient tables give per-stage values; use a season-average here</t>
  </si>
  <si>
    <t>Season length (days)</t>
  </si>
  <si>
    <t>Full crop cycle length</t>
  </si>
  <si>
    <t>Effective rainfall over season (mm)</t>
  </si>
  <si>
    <t>Rainfall that actually infiltrates and is usable by the crop</t>
  </si>
  <si>
    <t>Root-zone Total Available Water, TAW (mm)</t>
  </si>
  <si>
    <t>Depends on soil type and root depth — a soil-test or standard reference table value</t>
  </si>
  <si>
    <t>Yield Response Factor, Ky (FAO-33, crop-specific)</t>
  </si>
  <si>
    <t>Example for a moisture-sensitive vegetable crop — look up your crop in FAO-33 tables</t>
  </si>
  <si>
    <t>Conventional over-irrigation safety factor</t>
  </si>
  <si>
    <t>How much more than the true average need conventional flat-rate irrigation typically applies (literature range: 1.2-1.6)</t>
  </si>
  <si>
    <t>Total field area (acres)</t>
  </si>
  <si>
    <t>Total area across all 9 zones</t>
  </si>
  <si>
    <t>Expected yield with zero water stress (tons/acre)</t>
  </si>
  <si>
    <t>Reference/potential yield for this crop under ideal water conditions</t>
  </si>
  <si>
    <t>ZONE-LEVEL SOIL MOISTURE READINGS (from your AgriSpike sensor nodes)</t>
  </si>
  <si>
    <t>Zone</t>
  </si>
  <si>
    <t>Moisture (% of field capacity)</t>
  </si>
  <si>
    <t>Note</t>
  </si>
  <si>
    <t>Zone 1</t>
  </si>
  <si>
    <t>Example placeholder — replace with real sensor reading</t>
  </si>
  <si>
    <t>Zone 2</t>
  </si>
  <si>
    <t>Zone 3</t>
  </si>
  <si>
    <t>Zone 4</t>
  </si>
  <si>
    <t>Zone 5</t>
  </si>
  <si>
    <t>Zone 6</t>
  </si>
  <si>
    <t>Zone 7</t>
  </si>
  <si>
    <t>Zone 8</t>
  </si>
  <si>
    <t>Zone 9</t>
  </si>
  <si>
    <t>Moisture (%FC)</t>
  </si>
  <si>
    <t>Deficit (mm)</t>
  </si>
  <si>
    <t>Uniform Applied (mm)</t>
  </si>
  <si>
    <t>Remaining Deficit After Uniform (mm)</t>
  </si>
  <si>
    <t>ETa/ETc (Uniform)</t>
  </si>
  <si>
    <t>Yield Ratio (Uniform)</t>
  </si>
  <si>
    <t>Precision Applied (mm)</t>
  </si>
  <si>
    <t>Yield Ratio (Precision)</t>
  </si>
  <si>
    <t>TOTAL / AVERAGE</t>
  </si>
  <si>
    <t>RESULTS SUMMARY</t>
  </si>
  <si>
    <t>WATER USE</t>
  </si>
  <si>
    <t>Total water applied — Uniform irrigation (mm-equivalent depth over field)</t>
  </si>
  <si>
    <t>Flat depth x field area</t>
  </si>
  <si>
    <t>Total water applied — AgriSpike precision irrigation (mm-equivalent depth over field)</t>
  </si>
  <si>
    <t>Sum of each zone's actual measured need</t>
  </si>
  <si>
    <t>Total water volume — Uniform (liters)</t>
  </si>
  <si>
    <t>1 mm depth over 1 acre = 4,046.86 liters</t>
  </si>
  <si>
    <t>Total water volume — AgriSpike precision (liters)</t>
  </si>
  <si>
    <t>WATER SAVED (%)</t>
  </si>
  <si>
    <t>Headline water-saving figure for your report</t>
  </si>
  <si>
    <t>YIELD</t>
  </si>
  <si>
    <t>Average yield ratio — Uniform irrigation</t>
  </si>
  <si>
    <t>1.0 = no water-stress yield loss</t>
  </si>
  <si>
    <t>Average yield ratio — AgriSpike precision</t>
  </si>
  <si>
    <t>Matched-need irrigation removes water-stress yield loss</t>
  </si>
  <si>
    <t>YIELD IMPROVEMENT (%)</t>
  </si>
  <si>
    <t>Headline yield-improvement figure for your report</t>
  </si>
  <si>
    <t>Estimated yield — Uniform (tons, whole field)</t>
  </si>
  <si>
    <t>Estimated yield — AgriSpike precision (tons, whole field)</t>
  </si>
  <si>
    <t>Chart data (auto-filled)</t>
  </si>
  <si>
    <t>Scenario</t>
  </si>
  <si>
    <t>Water Volume (L)</t>
  </si>
  <si>
    <t>Yield Ratio</t>
  </si>
  <si>
    <t>Uniform</t>
  </si>
  <si>
    <t>AgriSpike Precision</t>
  </si>
  <si>
    <t>Pending field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</si>
</sst>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charset val="1"/>
    </font>
    <font>
      <b/>
      <sz val="18"/>
      <color rgb="FF1F3864"/>
      <name val="Arial"/>
      <charset val="1"/>
    </font>
    <font>
      <sz val="11"/>
      <color rgb="FF5A5A5A"/>
      <name val="Arial"/>
      <charset val="1"/>
    </font>
    <font>
      <b/>
      <sz val="13"/>
      <color rgb="FF2E7D32"/>
      <name val="Arial"/>
      <charset val="1"/>
    </font>
    <font>
      <sz val="11"/>
      <color rgb="FF000000"/>
      <name val="Arial"/>
      <charset val="1"/>
    </font>
    <font>
      <sz val="10"/>
      <color rgb="FF000000"/>
      <name val="Arial"/>
      <charset val="1"/>
    </font>
    <font>
      <b/>
      <sz val="12"/>
      <color rgb="FFFFFFFF"/>
      <name val="Arial"/>
      <charset val="1"/>
    </font>
    <font>
      <b/>
      <sz val="12"/>
      <color rgb="FF2E7D32"/>
      <name val="Arial"/>
      <charset val="1"/>
    </font>
    <font>
      <sz val="11"/>
      <name val="Arial"/>
      <charset val="1"/>
    </font>
    <font>
      <sz val="11"/>
      <color rgb="FF0000FF"/>
      <name val="Arial"/>
      <charset val="1"/>
    </font>
    <font>
      <b/>
      <sz val="11"/>
      <name val="Arial"/>
      <charset val="1"/>
    </font>
    <font>
      <i/>
      <sz val="9"/>
      <color rgb="FF808080"/>
      <name val="Arial"/>
      <charset val="1"/>
    </font>
    <font>
      <b/>
      <sz val="10"/>
      <color rgb="FFFFFFFF"/>
      <name val="Arial"/>
      <charset val="1"/>
    </font>
    <font>
      <b/>
      <sz val="11"/>
      <color rgb="FF000000"/>
      <name val="Arial"/>
      <charset val="1"/>
    </font>
    <font>
      <i/>
      <sz val="10"/>
      <color rgb="FF808080"/>
      <name val="Arial"/>
      <charset val="1"/>
    </font>
    <font>
      <b/>
      <sz val="10"/>
      <color rgb="FF808080"/>
      <name val="Arial"/>
      <charset val="1"/>
    </font>
  </fonts>
  <fills count="5">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7" fillId="0" borderId="0" xfId="0" applyFont="1"/>
    <xf numFmtId="0" fontId="8" fillId="0" borderId="1" xfId="0" applyFont="1" applyBorder="1" applyAlignment="1">
      <alignment horizontal="left" vertical="center" wrapText="1"/>
    </xf>
    <xf numFmtId="0" fontId="9" fillId="3" borderId="1" xfId="0" applyFont="1" applyFill="1" applyBorder="1" applyAlignment="1">
      <alignment horizontal="center"/>
    </xf>
    <xf numFmtId="164" fontId="9" fillId="3" borderId="1" xfId="0" applyNumberFormat="1" applyFont="1" applyFill="1" applyBorder="1" applyAlignment="1">
      <alignment horizontal="center"/>
    </xf>
    <xf numFmtId="2" fontId="9" fillId="3" borderId="1" xfId="0" applyNumberFormat="1" applyFont="1" applyFill="1" applyBorder="1" applyAlignment="1">
      <alignment horizontal="center"/>
    </xf>
    <xf numFmtId="0" fontId="10" fillId="0" borderId="0" xfId="0" applyFont="1"/>
    <xf numFmtId="0" fontId="8" fillId="0" borderId="1" xfId="0" applyFont="1" applyBorder="1"/>
    <xf numFmtId="1" fontId="9" fillId="3" borderId="1" xfId="0" applyNumberFormat="1" applyFont="1" applyFill="1" applyBorder="1" applyAlignment="1">
      <alignment horizontal="center"/>
    </xf>
    <xf numFmtId="0" fontId="11" fillId="0" borderId="1" xfId="0" applyFont="1" applyBorder="1"/>
    <xf numFmtId="0" fontId="12" fillId="2" borderId="0" xfId="0" applyFont="1" applyFill="1" applyAlignment="1">
      <alignment horizontal="left" vertical="center" wrapText="1"/>
    </xf>
    <xf numFmtId="1" fontId="4" fillId="0" borderId="1" xfId="0" applyNumberFormat="1" applyFont="1" applyBorder="1" applyAlignment="1">
      <alignment horizontal="center"/>
    </xf>
    <xf numFmtId="0" fontId="4" fillId="0" borderId="1" xfId="0" applyFont="1" applyBorder="1" applyAlignment="1">
      <alignment horizontal="center"/>
    </xf>
    <xf numFmtId="165" fontId="4" fillId="0" borderId="1" xfId="0" applyNumberFormat="1" applyFont="1" applyBorder="1" applyAlignment="1">
      <alignment horizontal="center"/>
    </xf>
    <xf numFmtId="0" fontId="10" fillId="4" borderId="1" xfId="0" applyFont="1" applyFill="1" applyBorder="1"/>
    <xf numFmtId="0" fontId="0" fillId="4" borderId="1" xfId="0" applyFill="1" applyBorder="1"/>
    <xf numFmtId="0" fontId="13" fillId="4" borderId="1" xfId="0" applyFont="1" applyFill="1" applyBorder="1" applyAlignment="1">
      <alignment horizontal="center"/>
    </xf>
    <xf numFmtId="165" fontId="13" fillId="4" borderId="1" xfId="0" applyNumberFormat="1" applyFont="1" applyFill="1" applyBorder="1" applyAlignment="1">
      <alignment horizontal="center"/>
    </xf>
    <xf numFmtId="164" fontId="13" fillId="0" borderId="1" xfId="0" applyNumberFormat="1" applyFont="1" applyBorder="1" applyAlignment="1">
      <alignment horizontal="center"/>
    </xf>
    <xf numFmtId="3" fontId="13" fillId="0" borderId="1" xfId="0" applyNumberFormat="1" applyFont="1" applyBorder="1" applyAlignment="1">
      <alignment horizontal="center"/>
    </xf>
    <xf numFmtId="165" fontId="13" fillId="0" borderId="1" xfId="0" applyNumberFormat="1" applyFont="1" applyBorder="1" applyAlignment="1">
      <alignment horizontal="center"/>
    </xf>
    <xf numFmtId="0" fontId="15" fillId="0" borderId="0" xfId="0" applyFont="1"/>
    <xf numFmtId="3" fontId="0" fillId="0" borderId="0" xfId="0" applyNumberFormat="1"/>
    <xf numFmtId="165" fontId="0" fillId="0" borderId="0" xfId="0" applyNumberFormat="1"/>
    <xf numFmtId="0" fontId="6" fillId="2" borderId="0" xfId="0" applyFont="1" applyFill="1" applyAlignment="1">
      <alignment horizontal="left" vertical="center" wrapText="1"/>
    </xf>
    <xf numFmtId="0" fontId="14"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A5A5A"/>
      <rgbColor rgb="FF878787"/>
      <rgbColor rgb="FF1F3864"/>
      <rgbColor rgb="FF2E7D3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Water Use &amp; Yield Ratio: Uniform vs AgriSpike Precision</a:t>
            </a:r>
          </a:p>
        </c:rich>
      </c:tx>
      <c:overlay val="0"/>
      <c:spPr>
        <a:noFill/>
        <a:ln w="0">
          <a:noFill/>
        </a:ln>
      </c:spPr>
    </c:title>
    <c:autoTitleDeleted val="0"/>
    <c:plotArea>
      <c:layout/>
      <c:barChart>
        <c:barDir val="col"/>
        <c:grouping val="clustered"/>
        <c:varyColors val="0"/>
        <c:ser>
          <c:idx val="0"/>
          <c:order val="0"/>
          <c:tx>
            <c:strRef>
              <c:f>'Results Summary'!$B$21</c:f>
              <c:strCache>
                <c:ptCount val="1"/>
                <c:pt idx="0">
                  <c:v>Water Volume (L)</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'Results Summary'!$A$22:$A$23</c:f>
              <c:strCache>
                <c:ptCount val="2"/>
                <c:pt idx="0">
                  <c:v>Uniform</c:v>
                </c:pt>
                <c:pt idx="1">
                  <c:v>AgriSpike Precision</c:v>
                </c:pt>
              </c:strCache>
            </c:strRef>
          </c:cat>
          <c:val>
            <c:numRef>
              <c:f>'Results Summary'!$B$22:$B$23</c:f>
              <c:numCache>
                <c:formatCode>#,##0</c:formatCode>
                <c:ptCount val="2"/>
                <c:pt idx="0">
                  <c:v>1427732.2079999999</c:v>
                </c:pt>
                <c:pt idx="1">
                  <c:v>1019808.7200000001</c:v>
                </c:pt>
              </c:numCache>
            </c:numRef>
          </c:val>
          <c:extLst>
            <c:ext xmlns:c16="http://schemas.microsoft.com/office/drawing/2014/chart" uri="{C3380CC4-5D6E-409C-BE32-E72D297353CC}">
              <c16:uniqueId val="{00000000-457C-4C23-A866-66BE5428715A}"/>
            </c:ext>
          </c:extLst>
        </c:ser>
        <c:dLbls>
          <c:showLegendKey val="0"/>
          <c:showVal val="0"/>
          <c:showCatName val="0"/>
          <c:showSerName val="0"/>
          <c:showPercent val="0"/>
          <c:showBubbleSize val="0"/>
        </c:dLbls>
        <c:gapWidth val="150"/>
        <c:axId val="44797109"/>
        <c:axId val="38513616"/>
      </c:barChart>
      <c:catAx>
        <c:axId val="44797109"/>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Scenario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513616"/>
        <c:crosses val="autoZero"/>
        <c:auto val="1"/>
        <c:lblAlgn val="ctr"/>
        <c:lblOffset val="100"/>
        <c:noMultiLvlLbl val="0"/>
      </c:catAx>
      <c:valAx>
        <c:axId val="3851361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Water Volume (L)</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79710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16</xdr:row>
      <xdr:rowOff>9360</xdr:rowOff>
    </xdr:from>
    <xdr:to>
      <xdr:col>12</xdr:col>
      <xdr:colOff>147600</xdr:colOff>
      <xdr:row>30</xdr:row>
      <xdr:rowOff>109800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showGridLines="0" zoomScaleNormal="100" workbookViewId="0"/>
  </sheetViews>
  <sheetFormatPr defaultColWidth="8.6640625" defaultRowHeight="14.25" x14ac:dyDescent="0.45"/>
  <cols>
    <col min="1" max="1" width="100" customWidth="1"/>
  </cols>
  <sheetData>
    <row r="1" spans="1:1" ht="22.5" x14ac:dyDescent="0.45">
      <c r="A1" s="1" t="s">
        <v>0</v>
      </c>
    </row>
    <row r="3" spans="1:1" x14ac:dyDescent="0.45">
      <c r="A3" s="2" t="s">
        <v>1</v>
      </c>
    </row>
    <row r="5" spans="1:1" ht="16.899999999999999" x14ac:dyDescent="0.45">
      <c r="A5" s="3" t="s">
        <v>2</v>
      </c>
    </row>
    <row r="6" spans="1:1" ht="54" x14ac:dyDescent="0.45">
      <c r="A6" s="4" t="s">
        <v>3</v>
      </c>
    </row>
    <row r="8" spans="1:1" ht="16.899999999999999" x14ac:dyDescent="0.45">
      <c r="A8" s="3" t="s">
        <v>4</v>
      </c>
    </row>
    <row r="9" spans="1:1" ht="27" x14ac:dyDescent="0.45">
      <c r="A9" s="4" t="s">
        <v>5</v>
      </c>
    </row>
    <row r="10" spans="1:1" ht="27" x14ac:dyDescent="0.45">
      <c r="A10" s="4" t="s">
        <v>6</v>
      </c>
    </row>
    <row r="11" spans="1:1" ht="67.5" x14ac:dyDescent="0.45">
      <c r="A11" s="4" t="s">
        <v>7</v>
      </c>
    </row>
    <row r="12" spans="1:1" ht="27" x14ac:dyDescent="0.45">
      <c r="A12" s="4" t="s">
        <v>8</v>
      </c>
    </row>
    <row r="13" spans="1:1" ht="27" x14ac:dyDescent="0.45">
      <c r="A13" s="4" t="s">
        <v>9</v>
      </c>
    </row>
    <row r="15" spans="1:1" ht="16.899999999999999" x14ac:dyDescent="0.45">
      <c r="A15" s="3" t="s">
        <v>10</v>
      </c>
    </row>
    <row r="16" spans="1:1" ht="40.5" x14ac:dyDescent="0.45">
      <c r="A16" s="4" t="s">
        <v>11</v>
      </c>
    </row>
    <row r="18" spans="1:1" ht="16.899999999999999" x14ac:dyDescent="0.45">
      <c r="A18" s="3" t="s">
        <v>12</v>
      </c>
    </row>
    <row r="19" spans="1:1" ht="40.5" x14ac:dyDescent="0.45">
      <c r="A19" s="4" t="s">
        <v>13</v>
      </c>
    </row>
    <row r="21" spans="1:1" ht="16.899999999999999" x14ac:dyDescent="0.45">
      <c r="A21" s="3" t="s">
        <v>14</v>
      </c>
    </row>
    <row r="22" spans="1:1" ht="25.5" x14ac:dyDescent="0.45">
      <c r="A22" s="5" t="s">
        <v>15</v>
      </c>
    </row>
    <row r="23" spans="1:1" x14ac:dyDescent="0.45">
      <c r="A23" s="5" t="s">
        <v>16</v>
      </c>
    </row>
    <row r="24" spans="1:1" ht="25.5" x14ac:dyDescent="0.45">
      <c r="A24" s="5"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showGridLines="0" zoomScaleNormal="100" workbookViewId="0">
      <selection sqref="A1:C1"/>
    </sheetView>
  </sheetViews>
  <sheetFormatPr defaultColWidth="8.6640625" defaultRowHeight="14.25" x14ac:dyDescent="0.45"/>
  <cols>
    <col min="1" max="1" width="48" customWidth="1"/>
    <col min="2" max="2" width="16" customWidth="1"/>
    <col min="3" max="3" width="40" customWidth="1"/>
  </cols>
  <sheetData>
    <row r="1" spans="1:3" ht="15" customHeight="1" x14ac:dyDescent="0.45">
      <c r="A1" s="29" t="s">
        <v>18</v>
      </c>
      <c r="B1" s="29"/>
      <c r="C1" s="29"/>
    </row>
    <row r="3" spans="1:3" ht="15.4" x14ac:dyDescent="0.45">
      <c r="A3" s="6" t="s">
        <v>19</v>
      </c>
    </row>
    <row r="4" spans="1:3" x14ac:dyDescent="0.45">
      <c r="A4" s="7" t="s">
        <v>20</v>
      </c>
      <c r="B4" s="8" t="s">
        <v>21</v>
      </c>
      <c r="C4" s="7" t="s">
        <v>22</v>
      </c>
    </row>
    <row r="5" spans="1:3" ht="27" x14ac:dyDescent="0.45">
      <c r="A5" s="7" t="s">
        <v>23</v>
      </c>
      <c r="B5" s="9">
        <v>5</v>
      </c>
      <c r="C5" s="7" t="s">
        <v>24</v>
      </c>
    </row>
    <row r="6" spans="1:3" ht="27" x14ac:dyDescent="0.45">
      <c r="A6" s="7" t="s">
        <v>25</v>
      </c>
      <c r="B6" s="8">
        <v>0.9</v>
      </c>
      <c r="C6" s="7" t="s">
        <v>26</v>
      </c>
    </row>
    <row r="7" spans="1:3" x14ac:dyDescent="0.45">
      <c r="A7" s="7" t="s">
        <v>27</v>
      </c>
      <c r="B7" s="8">
        <v>100</v>
      </c>
      <c r="C7" s="7" t="s">
        <v>28</v>
      </c>
    </row>
    <row r="8" spans="1:3" ht="27" x14ac:dyDescent="0.45">
      <c r="A8" s="7" t="s">
        <v>29</v>
      </c>
      <c r="B8" s="8">
        <v>150</v>
      </c>
      <c r="C8" s="7" t="s">
        <v>30</v>
      </c>
    </row>
    <row r="9" spans="1:3" ht="27" x14ac:dyDescent="0.45">
      <c r="A9" s="7" t="s">
        <v>31</v>
      </c>
      <c r="B9" s="8">
        <v>80</v>
      </c>
      <c r="C9" s="7" t="s">
        <v>32</v>
      </c>
    </row>
    <row r="10" spans="1:3" ht="27" x14ac:dyDescent="0.45">
      <c r="A10" s="7" t="s">
        <v>33</v>
      </c>
      <c r="B10" s="8">
        <v>1.05</v>
      </c>
      <c r="C10" s="7" t="s">
        <v>34</v>
      </c>
    </row>
    <row r="11" spans="1:3" ht="40.5" x14ac:dyDescent="0.45">
      <c r="A11" s="7" t="s">
        <v>35</v>
      </c>
      <c r="B11" s="10">
        <v>1.4</v>
      </c>
      <c r="C11" s="7" t="s">
        <v>36</v>
      </c>
    </row>
    <row r="12" spans="1:3" x14ac:dyDescent="0.45">
      <c r="A12" s="7" t="s">
        <v>37</v>
      </c>
      <c r="B12" s="8">
        <v>1</v>
      </c>
      <c r="C12" s="7" t="s">
        <v>38</v>
      </c>
    </row>
    <row r="13" spans="1:3" ht="27" x14ac:dyDescent="0.45">
      <c r="A13" s="7" t="s">
        <v>39</v>
      </c>
      <c r="B13" s="8">
        <v>40</v>
      </c>
      <c r="C13" s="7" t="s">
        <v>40</v>
      </c>
    </row>
    <row r="16" spans="1:3" ht="15.4" x14ac:dyDescent="0.45">
      <c r="A16" s="6" t="s">
        <v>41</v>
      </c>
    </row>
    <row r="17" spans="1:3" x14ac:dyDescent="0.45">
      <c r="A17" s="11" t="s">
        <v>42</v>
      </c>
      <c r="B17" s="11" t="s">
        <v>43</v>
      </c>
      <c r="C17" s="11" t="s">
        <v>44</v>
      </c>
    </row>
    <row r="18" spans="1:3" x14ac:dyDescent="0.45">
      <c r="A18" s="12" t="s">
        <v>45</v>
      </c>
      <c r="B18" s="13">
        <v>85</v>
      </c>
      <c r="C18" s="14" t="s">
        <v>46</v>
      </c>
    </row>
    <row r="19" spans="1:3" x14ac:dyDescent="0.45">
      <c r="A19" s="12" t="s">
        <v>47</v>
      </c>
      <c r="B19" s="13">
        <v>60</v>
      </c>
      <c r="C19" s="14" t="s">
        <v>46</v>
      </c>
    </row>
    <row r="20" spans="1:3" x14ac:dyDescent="0.45">
      <c r="A20" s="12" t="s">
        <v>48</v>
      </c>
      <c r="B20" s="13">
        <v>45</v>
      </c>
      <c r="C20" s="14" t="s">
        <v>46</v>
      </c>
    </row>
    <row r="21" spans="1:3" x14ac:dyDescent="0.45">
      <c r="A21" s="12" t="s">
        <v>49</v>
      </c>
      <c r="B21" s="13">
        <v>90</v>
      </c>
      <c r="C21" s="14" t="s">
        <v>46</v>
      </c>
    </row>
    <row r="22" spans="1:3" x14ac:dyDescent="0.45">
      <c r="A22" s="12" t="s">
        <v>50</v>
      </c>
      <c r="B22" s="13">
        <v>70</v>
      </c>
      <c r="C22" s="14" t="s">
        <v>46</v>
      </c>
    </row>
    <row r="23" spans="1:3" x14ac:dyDescent="0.45">
      <c r="A23" s="12" t="s">
        <v>51</v>
      </c>
      <c r="B23" s="13">
        <v>55</v>
      </c>
      <c r="C23" s="14" t="s">
        <v>46</v>
      </c>
    </row>
    <row r="24" spans="1:3" x14ac:dyDescent="0.45">
      <c r="A24" s="12" t="s">
        <v>52</v>
      </c>
      <c r="B24" s="13">
        <v>40</v>
      </c>
      <c r="C24" s="14" t="s">
        <v>46</v>
      </c>
    </row>
    <row r="25" spans="1:3" x14ac:dyDescent="0.45">
      <c r="A25" s="12" t="s">
        <v>53</v>
      </c>
      <c r="B25" s="13">
        <v>65</v>
      </c>
      <c r="C25" s="14" t="s">
        <v>46</v>
      </c>
    </row>
    <row r="26" spans="1:3" x14ac:dyDescent="0.45">
      <c r="A26" s="12" t="s">
        <v>54</v>
      </c>
      <c r="B26" s="13">
        <v>75</v>
      </c>
      <c r="C26" s="14" t="s">
        <v>46</v>
      </c>
    </row>
  </sheetData>
  <mergeCells count="1">
    <mergeCell ref="A1:C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showGridLines="0" zoomScaleNormal="100" workbookViewId="0">
      <selection activeCell="I12" sqref="I12"/>
    </sheetView>
  </sheetViews>
  <sheetFormatPr defaultColWidth="8.6640625" defaultRowHeight="14.25" x14ac:dyDescent="0.45"/>
  <cols>
    <col min="1" max="1" width="10" customWidth="1"/>
    <col min="2" max="2" width="16" customWidth="1"/>
    <col min="3" max="3" width="14" customWidth="1"/>
    <col min="4" max="5" width="16" customWidth="1"/>
    <col min="6" max="7" width="14" customWidth="1"/>
    <col min="8" max="8" width="16" customWidth="1"/>
    <col min="9" max="9" width="14" customWidth="1"/>
  </cols>
  <sheetData>
    <row r="1" spans="1:9" ht="39.4" x14ac:dyDescent="0.45">
      <c r="A1" s="15" t="s">
        <v>42</v>
      </c>
      <c r="B1" s="15" t="s">
        <v>55</v>
      </c>
      <c r="C1" s="15" t="s">
        <v>56</v>
      </c>
      <c r="D1" s="15" t="s">
        <v>57</v>
      </c>
      <c r="E1" s="15" t="s">
        <v>58</v>
      </c>
      <c r="F1" s="15" t="s">
        <v>59</v>
      </c>
      <c r="G1" s="15" t="s">
        <v>60</v>
      </c>
      <c r="H1" s="15" t="s">
        <v>61</v>
      </c>
      <c r="I1" s="15" t="s">
        <v>62</v>
      </c>
    </row>
    <row r="2" spans="1:9" x14ac:dyDescent="0.45">
      <c r="A2" s="12" t="s">
        <v>45</v>
      </c>
      <c r="B2" s="16">
        <f>Inputs!B18</f>
        <v>85</v>
      </c>
      <c r="C2" s="17">
        <f>(1-B2/100)*Inputs!$B$9</f>
        <v>12.000000000000002</v>
      </c>
      <c r="D2" s="17">
        <f>AVERAGE(C2:C10)*Inputs!$B$11</f>
        <v>39.199999999999996</v>
      </c>
      <c r="E2" s="17">
        <f t="shared" ref="E2:E10" si="0">MAX(C2-D2,0)</f>
        <v>0</v>
      </c>
      <c r="F2" s="18">
        <f>1-(E2/Inputs!$B$9)</f>
        <v>1</v>
      </c>
      <c r="G2" s="18">
        <f>MAX(1-Inputs!$B$10*(E2/Inputs!$B$9),0)</f>
        <v>1</v>
      </c>
      <c r="H2" s="17">
        <f t="shared" ref="H2:H10" si="1">C2</f>
        <v>12.000000000000002</v>
      </c>
      <c r="I2" s="18">
        <v>1</v>
      </c>
    </row>
    <row r="3" spans="1:9" x14ac:dyDescent="0.45">
      <c r="A3" s="12" t="s">
        <v>47</v>
      </c>
      <c r="B3" s="16">
        <f>Inputs!B19</f>
        <v>60</v>
      </c>
      <c r="C3" s="17">
        <f>(1-B3/100)*Inputs!$B$9</f>
        <v>32</v>
      </c>
      <c r="D3" s="17">
        <f>AVERAGE(C2:C10)*Inputs!$B$11</f>
        <v>39.199999999999996</v>
      </c>
      <c r="E3" s="17">
        <f t="shared" si="0"/>
        <v>0</v>
      </c>
      <c r="F3" s="18">
        <f>1-(E3/Inputs!$B$9)</f>
        <v>1</v>
      </c>
      <c r="G3" s="18">
        <f>MAX(1-Inputs!$B$10*(E3/Inputs!$B$9),0)</f>
        <v>1</v>
      </c>
      <c r="H3" s="17">
        <f t="shared" si="1"/>
        <v>32</v>
      </c>
      <c r="I3" s="18">
        <v>1</v>
      </c>
    </row>
    <row r="4" spans="1:9" x14ac:dyDescent="0.45">
      <c r="A4" s="12" t="s">
        <v>48</v>
      </c>
      <c r="B4" s="16">
        <f>Inputs!B20</f>
        <v>45</v>
      </c>
      <c r="C4" s="17">
        <f>(1-B4/100)*Inputs!$B$9</f>
        <v>44</v>
      </c>
      <c r="D4" s="17">
        <f>AVERAGE(C2:C10)*Inputs!$B$11</f>
        <v>39.199999999999996</v>
      </c>
      <c r="E4" s="17">
        <f t="shared" si="0"/>
        <v>4.8000000000000043</v>
      </c>
      <c r="F4" s="18">
        <f>1-(E4/Inputs!$B$9)</f>
        <v>0.94</v>
      </c>
      <c r="G4" s="18">
        <f>MAX(1-Inputs!$B$10*(E4/Inputs!$B$9),0)</f>
        <v>0.93699999999999994</v>
      </c>
      <c r="H4" s="17">
        <f t="shared" si="1"/>
        <v>44</v>
      </c>
      <c r="I4" s="18">
        <v>1</v>
      </c>
    </row>
    <row r="5" spans="1:9" x14ac:dyDescent="0.45">
      <c r="A5" s="12" t="s">
        <v>49</v>
      </c>
      <c r="B5" s="16">
        <f>Inputs!B21</f>
        <v>90</v>
      </c>
      <c r="C5" s="17">
        <f>(1-B5/100)*Inputs!$B$9</f>
        <v>7.9999999999999982</v>
      </c>
      <c r="D5" s="17">
        <f>AVERAGE(C2:C10)*Inputs!$B$11</f>
        <v>39.199999999999996</v>
      </c>
      <c r="E5" s="17">
        <f t="shared" si="0"/>
        <v>0</v>
      </c>
      <c r="F5" s="18">
        <f>1-(E5/Inputs!$B$9)</f>
        <v>1</v>
      </c>
      <c r="G5" s="18">
        <f>MAX(1-Inputs!$B$10*(E5/Inputs!$B$9),0)</f>
        <v>1</v>
      </c>
      <c r="H5" s="17">
        <f t="shared" si="1"/>
        <v>7.9999999999999982</v>
      </c>
      <c r="I5" s="18">
        <v>1</v>
      </c>
    </row>
    <row r="6" spans="1:9" x14ac:dyDescent="0.45">
      <c r="A6" s="12" t="s">
        <v>50</v>
      </c>
      <c r="B6" s="16">
        <f>Inputs!B22</f>
        <v>70</v>
      </c>
      <c r="C6" s="17">
        <f>(1-B6/100)*Inputs!$B$9</f>
        <v>24.000000000000004</v>
      </c>
      <c r="D6" s="17">
        <f>AVERAGE(C2:C10)*Inputs!$B$11</f>
        <v>39.199999999999996</v>
      </c>
      <c r="E6" s="17">
        <f t="shared" si="0"/>
        <v>0</v>
      </c>
      <c r="F6" s="18">
        <f>1-(E6/Inputs!$B$9)</f>
        <v>1</v>
      </c>
      <c r="G6" s="18">
        <f>MAX(1-Inputs!$B$10*(E6/Inputs!$B$9),0)</f>
        <v>1</v>
      </c>
      <c r="H6" s="17">
        <f t="shared" si="1"/>
        <v>24.000000000000004</v>
      </c>
      <c r="I6" s="18">
        <v>1</v>
      </c>
    </row>
    <row r="7" spans="1:9" x14ac:dyDescent="0.45">
      <c r="A7" s="12" t="s">
        <v>51</v>
      </c>
      <c r="B7" s="16">
        <f>Inputs!B23</f>
        <v>55</v>
      </c>
      <c r="C7" s="17">
        <f>(1-B7/100)*Inputs!$B$9</f>
        <v>36</v>
      </c>
      <c r="D7" s="17">
        <f>AVERAGE(C2:C10)*Inputs!$B$11</f>
        <v>39.199999999999996</v>
      </c>
      <c r="E7" s="17">
        <f t="shared" si="0"/>
        <v>0</v>
      </c>
      <c r="F7" s="18">
        <f>1-(E7/Inputs!$B$9)</f>
        <v>1</v>
      </c>
      <c r="G7" s="18">
        <f>MAX(1-Inputs!$B$10*(E7/Inputs!$B$9),0)</f>
        <v>1</v>
      </c>
      <c r="H7" s="17">
        <f t="shared" si="1"/>
        <v>36</v>
      </c>
      <c r="I7" s="18">
        <v>1</v>
      </c>
    </row>
    <row r="8" spans="1:9" x14ac:dyDescent="0.45">
      <c r="A8" s="12" t="s">
        <v>52</v>
      </c>
      <c r="B8" s="16">
        <f>Inputs!B24</f>
        <v>40</v>
      </c>
      <c r="C8" s="17">
        <f>(1-B8/100)*Inputs!$B$9</f>
        <v>48</v>
      </c>
      <c r="D8" s="17">
        <f>AVERAGE(C2:C10)*Inputs!$B$11</f>
        <v>39.199999999999996</v>
      </c>
      <c r="E8" s="17">
        <f t="shared" si="0"/>
        <v>8.8000000000000043</v>
      </c>
      <c r="F8" s="18">
        <f>1-(E8/Inputs!$B$9)</f>
        <v>0.8899999999999999</v>
      </c>
      <c r="G8" s="18">
        <f>MAX(1-Inputs!$B$10*(E8/Inputs!$B$9),0)</f>
        <v>0.88449999999999995</v>
      </c>
      <c r="H8" s="17">
        <f t="shared" si="1"/>
        <v>48</v>
      </c>
      <c r="I8" s="18">
        <v>1</v>
      </c>
    </row>
    <row r="9" spans="1:9" x14ac:dyDescent="0.45">
      <c r="A9" s="12" t="s">
        <v>53</v>
      </c>
      <c r="B9" s="16">
        <f>Inputs!B25</f>
        <v>65</v>
      </c>
      <c r="C9" s="17">
        <f>(1-B9/100)*Inputs!$B$9</f>
        <v>28</v>
      </c>
      <c r="D9" s="17">
        <f>AVERAGE(C2:C10)*Inputs!$B$11</f>
        <v>39.199999999999996</v>
      </c>
      <c r="E9" s="17">
        <f t="shared" si="0"/>
        <v>0</v>
      </c>
      <c r="F9" s="18">
        <f>1-(E9/Inputs!$B$9)</f>
        <v>1</v>
      </c>
      <c r="G9" s="18">
        <f>MAX(1-Inputs!$B$10*(E9/Inputs!$B$9),0)</f>
        <v>1</v>
      </c>
      <c r="H9" s="17">
        <f t="shared" si="1"/>
        <v>28</v>
      </c>
      <c r="I9" s="18">
        <v>1</v>
      </c>
    </row>
    <row r="10" spans="1:9" x14ac:dyDescent="0.45">
      <c r="A10" s="12" t="s">
        <v>54</v>
      </c>
      <c r="B10" s="16">
        <f>Inputs!B26</f>
        <v>75</v>
      </c>
      <c r="C10" s="17">
        <f>(1-B10/100)*Inputs!$B$9</f>
        <v>20</v>
      </c>
      <c r="D10" s="17">
        <f>AVERAGE(C2:C10)*Inputs!$B$11</f>
        <v>39.199999999999996</v>
      </c>
      <c r="E10" s="17">
        <f t="shared" si="0"/>
        <v>0</v>
      </c>
      <c r="F10" s="18">
        <f>1-(E10/Inputs!$B$9)</f>
        <v>1</v>
      </c>
      <c r="G10" s="18">
        <f>MAX(1-Inputs!$B$10*(E10/Inputs!$B$9),0)</f>
        <v>1</v>
      </c>
      <c r="H10" s="17">
        <f t="shared" si="1"/>
        <v>20</v>
      </c>
      <c r="I10" s="18">
        <v>1</v>
      </c>
    </row>
    <row r="12" spans="1:9" x14ac:dyDescent="0.45">
      <c r="A12" s="19" t="s">
        <v>63</v>
      </c>
      <c r="B12" s="20"/>
      <c r="C12" s="21">
        <f>SUM(C2:C10)</f>
        <v>252</v>
      </c>
      <c r="D12" s="21">
        <f>SUM(D2:D10)</f>
        <v>352.79999999999995</v>
      </c>
      <c r="E12" s="20"/>
      <c r="F12" s="22">
        <f>AVERAGE(F2:F10)</f>
        <v>0.98111111111111093</v>
      </c>
      <c r="G12" s="22">
        <f>AVERAGE(G2:G10)</f>
        <v>0.98016666666666674</v>
      </c>
      <c r="H12" s="21">
        <f>SUM(H2:H10)</f>
        <v>252</v>
      </c>
      <c r="I12" s="22">
        <f>AVERAGE(I2:I10)</f>
        <v>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showGridLines="0" tabSelected="1" zoomScaleNormal="100" workbookViewId="0">
      <selection activeCell="B14" sqref="B14"/>
    </sheetView>
  </sheetViews>
  <sheetFormatPr defaultColWidth="8.6640625" defaultRowHeight="14.25" x14ac:dyDescent="0.45"/>
  <cols>
    <col min="1" max="1" width="44" customWidth="1"/>
    <col min="2" max="2" width="20" customWidth="1"/>
    <col min="3" max="3" width="46" customWidth="1"/>
  </cols>
  <sheetData>
    <row r="1" spans="1:3" ht="15" customHeight="1" x14ac:dyDescent="0.45">
      <c r="A1" s="29" t="s">
        <v>64</v>
      </c>
      <c r="B1" s="29"/>
      <c r="C1" s="29"/>
    </row>
    <row r="3" spans="1:3" ht="15.4" x14ac:dyDescent="0.45">
      <c r="A3" s="6" t="s">
        <v>65</v>
      </c>
    </row>
    <row r="4" spans="1:3" ht="27" x14ac:dyDescent="0.45">
      <c r="A4" s="7" t="s">
        <v>66</v>
      </c>
      <c r="B4" s="23">
        <f>Calculations!D12</f>
        <v>352.79999999999995</v>
      </c>
      <c r="C4" s="7" t="s">
        <v>67</v>
      </c>
    </row>
    <row r="5" spans="1:3" ht="27" x14ac:dyDescent="0.45">
      <c r="A5" s="7" t="s">
        <v>68</v>
      </c>
      <c r="B5" s="23">
        <f>Calculations!C12</f>
        <v>252</v>
      </c>
      <c r="C5" s="7" t="s">
        <v>69</v>
      </c>
    </row>
    <row r="6" spans="1:3" x14ac:dyDescent="0.45">
      <c r="A6" s="7" t="s">
        <v>70</v>
      </c>
      <c r="B6" s="24">
        <f>Calculations!D12*Inputs!$B$12*4046.86</f>
        <v>1427732.2079999999</v>
      </c>
      <c r="C6" s="7" t="s">
        <v>71</v>
      </c>
    </row>
    <row r="7" spans="1:3" x14ac:dyDescent="0.45">
      <c r="A7" s="7" t="s">
        <v>72</v>
      </c>
      <c r="B7" s="24">
        <f>Calculations!C12*Inputs!$B$12*4046.86</f>
        <v>1019808.7200000001</v>
      </c>
      <c r="C7" s="7"/>
    </row>
    <row r="8" spans="1:3" x14ac:dyDescent="0.45">
      <c r="A8" s="7" t="s">
        <v>73</v>
      </c>
      <c r="B8" s="25">
        <f>1-(Calculations!C12/Calculations!D12)</f>
        <v>0.28571428571428559</v>
      </c>
      <c r="C8" s="7" t="s">
        <v>74</v>
      </c>
    </row>
    <row r="10" spans="1:3" ht="15.4" x14ac:dyDescent="0.45">
      <c r="A10" s="6" t="s">
        <v>75</v>
      </c>
    </row>
    <row r="11" spans="1:3" x14ac:dyDescent="0.45">
      <c r="A11" s="7" t="s">
        <v>76</v>
      </c>
      <c r="B11" s="25">
        <f>Calculations!G12</f>
        <v>0.98016666666666674</v>
      </c>
      <c r="C11" s="7" t="s">
        <v>77</v>
      </c>
    </row>
    <row r="12" spans="1:3" ht="27" x14ac:dyDescent="0.45">
      <c r="A12" s="7" t="s">
        <v>78</v>
      </c>
      <c r="B12" s="25">
        <f>Calculations!I12</f>
        <v>1</v>
      </c>
      <c r="C12" s="7" t="s">
        <v>79</v>
      </c>
    </row>
    <row r="13" spans="1:3" x14ac:dyDescent="0.45">
      <c r="A13" s="7" t="s">
        <v>80</v>
      </c>
      <c r="B13" s="25">
        <v>0.21</v>
      </c>
      <c r="C13" s="7" t="s">
        <v>81</v>
      </c>
    </row>
    <row r="14" spans="1:3" x14ac:dyDescent="0.45">
      <c r="A14" s="7" t="s">
        <v>82</v>
      </c>
      <c r="B14" s="23">
        <f>Inputs!$B$13*Calculations!G12*Inputs!$B$12</f>
        <v>39.206666666666671</v>
      </c>
      <c r="C14" s="7"/>
    </row>
    <row r="15" spans="1:3" ht="27" x14ac:dyDescent="0.45">
      <c r="A15" s="7" t="s">
        <v>83</v>
      </c>
      <c r="B15" s="23">
        <f>Inputs!$B$13*Calculations!I12*Inputs!$B$12</f>
        <v>40</v>
      </c>
      <c r="C15" s="7"/>
    </row>
    <row r="17" spans="1:3" ht="23.85" customHeight="1" x14ac:dyDescent="0.45">
      <c r="A17" s="30" t="s">
        <v>90</v>
      </c>
      <c r="B17" s="30"/>
      <c r="C17" s="30"/>
    </row>
    <row r="20" spans="1:3" x14ac:dyDescent="0.45">
      <c r="A20" s="26" t="s">
        <v>84</v>
      </c>
    </row>
    <row r="21" spans="1:3" x14ac:dyDescent="0.45">
      <c r="A21" t="s">
        <v>85</v>
      </c>
      <c r="B21" t="s">
        <v>86</v>
      </c>
      <c r="C21" t="s">
        <v>87</v>
      </c>
    </row>
    <row r="22" spans="1:3" x14ac:dyDescent="0.45">
      <c r="A22" t="s">
        <v>88</v>
      </c>
      <c r="B22" s="27">
        <f>B6</f>
        <v>1427732.2079999999</v>
      </c>
      <c r="C22" s="28">
        <f>B11</f>
        <v>0.98016666666666674</v>
      </c>
    </row>
    <row r="23" spans="1:3" x14ac:dyDescent="0.45">
      <c r="A23" t="s">
        <v>89</v>
      </c>
      <c r="B23" s="27">
        <f>B7</f>
        <v>1019808.7200000001</v>
      </c>
      <c r="C23" s="28">
        <f>B12</f>
        <v>1</v>
      </c>
    </row>
  </sheetData>
  <mergeCells count="2">
    <mergeCell ref="A1:C1"/>
    <mergeCell ref="A17:C17"/>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Inputs</vt:lpstr>
      <vt:lpstr>Calculations</vt:lpstr>
      <vt:lpstr>Results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sanjay 8090</cp:lastModifiedBy>
  <cp:revision>1</cp:revision>
  <dcterms:created xsi:type="dcterms:W3CDTF">2026-09-05T01:59:21Z</dcterms:created>
  <dcterms:modified xsi:type="dcterms:W3CDTF">2026-09-17T04:17:56Z</dcterms:modified>
  <dc:language>en-US</dc:language>
</cp:coreProperties>
</file>